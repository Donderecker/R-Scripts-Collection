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ta\Downloads\"/>
    </mc:Choice>
  </mc:AlternateContent>
  <xr:revisionPtr revIDLastSave="0" documentId="8_{6575965B-0FFA-4CD4-806F-F75BADF9B674}" xr6:coauthVersionLast="47" xr6:coauthVersionMax="47" xr10:uidLastSave="{00000000-0000-0000-0000-000000000000}"/>
  <bookViews>
    <workbookView xWindow="1152" yWindow="1152" windowWidth="17280" windowHeight="8880" xr2:uid="{A44A0911-26CC-4E16-8FD4-E49C727A44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G10" i="1"/>
  <c r="E10" i="1"/>
  <c r="D10" i="1"/>
  <c r="C10" i="1"/>
  <c r="B10" i="1"/>
  <c r="E9" i="1"/>
  <c r="I9" i="1" s="1"/>
  <c r="E8" i="1"/>
  <c r="I8" i="1" s="1"/>
  <c r="F7" i="1"/>
  <c r="I7" i="1" s="1"/>
  <c r="I6" i="1"/>
  <c r="I5" i="1"/>
  <c r="F5" i="1"/>
  <c r="E5" i="1"/>
  <c r="F4" i="1"/>
  <c r="F10" i="1" s="1"/>
  <c r="E4" i="1"/>
  <c r="D4" i="1"/>
  <c r="C4" i="1"/>
  <c r="I4" i="1" s="1"/>
  <c r="I3" i="1"/>
  <c r="E3" i="1"/>
  <c r="F2" i="1"/>
  <c r="E2" i="1"/>
  <c r="C2" i="1"/>
  <c r="I2" i="1" s="1"/>
  <c r="I10" i="1" l="1"/>
</calcChain>
</file>

<file path=xl/sharedStrings.xml><?xml version="1.0" encoding="utf-8"?>
<sst xmlns="http://schemas.openxmlformats.org/spreadsheetml/2006/main" count="11" uniqueCount="10">
  <si>
    <t xml:space="preserve">Localidad </t>
  </si>
  <si>
    <t xml:space="preserve">Total </t>
  </si>
  <si>
    <t>Aguas Buenas</t>
  </si>
  <si>
    <t>Cañal Bajo</t>
  </si>
  <si>
    <t>Las Lumas</t>
  </si>
  <si>
    <t>Los Maitenes</t>
  </si>
  <si>
    <t>Los Méliès</t>
  </si>
  <si>
    <t>Mulpulmo</t>
  </si>
  <si>
    <t>Polloico</t>
  </si>
  <si>
    <t>Tacamó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</si>
</sst>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9FFC-4441-4031-8572-6C8A4181476E}">
  <dimension ref="A1:I10"/>
  <sheetViews>
    <sheetView tabSelected="1" workbookViewId="0">
      <selection sqref="A1:I10"/>
    </sheetView>
  </sheetViews>
  <sheetFormatPr baseColWidth="10" defaultRowHeight="14.4" x14ac:dyDescent="0.3"/>
  <sheetData>
    <row r="1" spans="1:9" x14ac:dyDescent="0.3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 t="s">
        <v>1</v>
      </c>
    </row>
    <row r="2" spans="1:9" x14ac:dyDescent="0.3">
      <c r="A2" s="2" t="s">
        <v>2</v>
      </c>
      <c r="B2" s="3">
        <v>0</v>
      </c>
      <c r="C2" s="3">
        <f>4+19+6+19</f>
        <v>48</v>
      </c>
      <c r="D2" s="3">
        <v>54</v>
      </c>
      <c r="E2" s="3">
        <f>24+25+21+20</f>
        <v>90</v>
      </c>
      <c r="F2" s="3">
        <f>43+7</f>
        <v>50</v>
      </c>
      <c r="G2" s="3">
        <v>7</v>
      </c>
      <c r="H2" s="3">
        <v>69</v>
      </c>
      <c r="I2" s="3">
        <f>SUM(B2:H2)</f>
        <v>318</v>
      </c>
    </row>
    <row r="3" spans="1:9" x14ac:dyDescent="0.3">
      <c r="A3" s="2" t="s">
        <v>3</v>
      </c>
      <c r="B3" s="3">
        <v>25</v>
      </c>
      <c r="C3" s="3">
        <v>4</v>
      </c>
      <c r="D3" s="3">
        <v>2</v>
      </c>
      <c r="E3" s="3">
        <f>3+4+19+4+346+3</f>
        <v>379</v>
      </c>
      <c r="F3" s="3">
        <v>14</v>
      </c>
      <c r="G3" s="3">
        <v>81</v>
      </c>
      <c r="H3" s="3">
        <v>38</v>
      </c>
      <c r="I3" s="3">
        <f>SUM(B3:H3)</f>
        <v>543</v>
      </c>
    </row>
    <row r="4" spans="1:9" x14ac:dyDescent="0.3">
      <c r="A4" s="2" t="s">
        <v>4</v>
      </c>
      <c r="B4" s="3">
        <v>26</v>
      </c>
      <c r="C4" s="3">
        <f>9+6+2+2+4</f>
        <v>23</v>
      </c>
      <c r="D4" s="3">
        <f>18+83</f>
        <v>101</v>
      </c>
      <c r="E4" s="3">
        <f>2+2+5+10+2+37+6+2+3</f>
        <v>69</v>
      </c>
      <c r="F4" s="3">
        <f>73+52</f>
        <v>125</v>
      </c>
      <c r="G4" s="3">
        <v>18</v>
      </c>
      <c r="H4" s="3">
        <v>7</v>
      </c>
      <c r="I4" s="3">
        <f t="shared" ref="I4:I8" si="0">SUM(B4:H4)</f>
        <v>369</v>
      </c>
    </row>
    <row r="5" spans="1:9" x14ac:dyDescent="0.3">
      <c r="A5" s="2" t="s">
        <v>5</v>
      </c>
      <c r="B5" s="3">
        <v>0</v>
      </c>
      <c r="C5" s="3">
        <v>11</v>
      </c>
      <c r="D5" s="3">
        <v>10</v>
      </c>
      <c r="E5" s="4">
        <f>9+13</f>
        <v>22</v>
      </c>
      <c r="F5" s="4">
        <f>5+34+24</f>
        <v>63</v>
      </c>
      <c r="G5" s="4">
        <v>83</v>
      </c>
      <c r="H5" s="4">
        <v>0</v>
      </c>
      <c r="I5" s="3">
        <f t="shared" si="0"/>
        <v>189</v>
      </c>
    </row>
    <row r="6" spans="1:9" x14ac:dyDescent="0.3">
      <c r="A6" s="2" t="s">
        <v>6</v>
      </c>
      <c r="B6" s="3">
        <v>0</v>
      </c>
      <c r="C6" s="3">
        <v>0</v>
      </c>
      <c r="D6" s="3">
        <v>0</v>
      </c>
      <c r="E6" s="3">
        <v>13</v>
      </c>
      <c r="F6" s="3">
        <v>2</v>
      </c>
      <c r="G6" s="4">
        <v>0</v>
      </c>
      <c r="H6" s="4">
        <v>0</v>
      </c>
      <c r="I6" s="3">
        <f t="shared" si="0"/>
        <v>15</v>
      </c>
    </row>
    <row r="7" spans="1:9" x14ac:dyDescent="0.3">
      <c r="A7" s="2" t="s">
        <v>7</v>
      </c>
      <c r="B7" s="3">
        <v>0</v>
      </c>
      <c r="C7" s="3">
        <v>0</v>
      </c>
      <c r="D7" s="3">
        <v>179</v>
      </c>
      <c r="E7" s="3">
        <v>8</v>
      </c>
      <c r="F7" s="3">
        <f>53+56+3+5</f>
        <v>117</v>
      </c>
      <c r="G7" s="4">
        <v>2</v>
      </c>
      <c r="H7" s="4">
        <v>0</v>
      </c>
      <c r="I7" s="3">
        <f t="shared" si="0"/>
        <v>306</v>
      </c>
    </row>
    <row r="8" spans="1:9" x14ac:dyDescent="0.3">
      <c r="A8" s="2" t="s">
        <v>8</v>
      </c>
      <c r="B8" s="3">
        <v>12</v>
      </c>
      <c r="C8" s="3">
        <v>12</v>
      </c>
      <c r="D8" s="3">
        <v>6</v>
      </c>
      <c r="E8" s="3">
        <f>2+4+10+12+3+2+6+10+2</f>
        <v>51</v>
      </c>
      <c r="F8" s="3">
        <v>40</v>
      </c>
      <c r="G8" s="4">
        <v>43</v>
      </c>
      <c r="H8" s="4">
        <v>13</v>
      </c>
      <c r="I8" s="3">
        <f t="shared" si="0"/>
        <v>177</v>
      </c>
    </row>
    <row r="9" spans="1:9" x14ac:dyDescent="0.3">
      <c r="A9" s="2" t="s">
        <v>9</v>
      </c>
      <c r="B9" s="3">
        <v>0</v>
      </c>
      <c r="C9" s="3">
        <v>0</v>
      </c>
      <c r="D9" s="3">
        <v>15</v>
      </c>
      <c r="E9" s="3">
        <f>47+76+2+59+2</f>
        <v>186</v>
      </c>
      <c r="F9" s="3">
        <v>132</v>
      </c>
      <c r="G9" s="4">
        <v>11</v>
      </c>
      <c r="H9" s="4">
        <v>16</v>
      </c>
      <c r="I9" s="3">
        <f>SUM(B9:H9)</f>
        <v>360</v>
      </c>
    </row>
    <row r="10" spans="1:9" x14ac:dyDescent="0.3">
      <c r="A10" s="5" t="s">
        <v>1</v>
      </c>
      <c r="B10" s="3">
        <f>SUM(B2:B9)</f>
        <v>63</v>
      </c>
      <c r="C10" s="3">
        <f t="shared" ref="C10:H10" si="1">SUM(C2:C9)</f>
        <v>98</v>
      </c>
      <c r="D10" s="3">
        <f t="shared" si="1"/>
        <v>367</v>
      </c>
      <c r="E10" s="3">
        <f t="shared" si="1"/>
        <v>818</v>
      </c>
      <c r="F10" s="3">
        <f t="shared" si="1"/>
        <v>543</v>
      </c>
      <c r="G10" s="3">
        <f t="shared" si="1"/>
        <v>245</v>
      </c>
      <c r="H10" s="3">
        <f t="shared" si="1"/>
        <v>143</v>
      </c>
      <c r="I10" s="6">
        <f>SUM(B10:H10)</f>
        <v>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González V.</dc:creator>
  <cp:lastModifiedBy>Gerald González V.</cp:lastModifiedBy>
  <dcterms:created xsi:type="dcterms:W3CDTF">2025-12-10T07:10:04Z</dcterms:created>
  <dcterms:modified xsi:type="dcterms:W3CDTF">2025-12-10T07:10:20Z</dcterms:modified>
</cp:coreProperties>
</file>